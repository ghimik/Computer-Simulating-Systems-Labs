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8" activeTab="1"/>
  </bookViews>
  <sheets>
    <sheet name="task1" sheetId="1" r:id="rId1"/>
    <sheet name="task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F2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" i="2"/>
  <c r="P3" i="2"/>
  <c r="P4" i="2" s="1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O4" i="2"/>
  <c r="O5" i="2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3" i="2"/>
  <c r="AB3" i="2"/>
  <c r="AA3" i="2"/>
  <c r="AB2" i="2"/>
  <c r="AA2" i="2"/>
  <c r="J2" i="1"/>
  <c r="J3" i="1" s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B15" i="1" s="1"/>
  <c r="C15" i="1" s="1"/>
  <c r="I2" i="1"/>
  <c r="I3" i="1" s="1"/>
  <c r="AA4" i="2" l="1"/>
  <c r="AB4" i="2"/>
  <c r="B13" i="1"/>
  <c r="C13" i="1" s="1"/>
  <c r="B11" i="1"/>
  <c r="C11" i="1" s="1"/>
  <c r="B10" i="1"/>
  <c r="C10" i="1" s="1"/>
  <c r="B9" i="1"/>
  <c r="C9" i="1" s="1"/>
  <c r="B8" i="1"/>
  <c r="C8" i="1" s="1"/>
  <c r="B12" i="1"/>
  <c r="C12" i="1" s="1"/>
  <c r="B7" i="1"/>
  <c r="C7" i="1" s="1"/>
  <c r="B6" i="1"/>
  <c r="C6" i="1" s="1"/>
  <c r="B14" i="1"/>
  <c r="C14" i="1" s="1"/>
  <c r="B5" i="1"/>
  <c r="C5" i="1" s="1"/>
  <c r="B2" i="1"/>
  <c r="C2" i="1" s="1"/>
  <c r="B4" i="1"/>
  <c r="C4" i="1" s="1"/>
  <c r="B3" i="1"/>
  <c r="C3" i="1" s="1"/>
  <c r="I4" i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A3" i="1"/>
  <c r="D3" i="1" s="1"/>
  <c r="E3" i="1" s="1"/>
  <c r="F3" i="1" s="1"/>
  <c r="G3" i="1" s="1"/>
  <c r="A2" i="1"/>
  <c r="J16" i="1"/>
  <c r="B16" i="1" s="1"/>
  <c r="C16" i="1" s="1"/>
  <c r="D2" i="1" l="1"/>
  <c r="E2" i="1" s="1"/>
  <c r="G2" i="1" s="1"/>
  <c r="AB5" i="2"/>
  <c r="AA5" i="2"/>
  <c r="A14" i="1"/>
  <c r="D14" i="1" s="1"/>
  <c r="E14" i="1" s="1"/>
  <c r="F14" i="1" s="1"/>
  <c r="G14" i="1" s="1"/>
  <c r="A15" i="1"/>
  <c r="D15" i="1" s="1"/>
  <c r="E15" i="1" s="1"/>
  <c r="F15" i="1" s="1"/>
  <c r="G15" i="1" s="1"/>
  <c r="J17" i="1"/>
  <c r="B17" i="1" s="1"/>
  <c r="C17" i="1" s="1"/>
  <c r="A16" i="1"/>
  <c r="D16" i="1" s="1"/>
  <c r="E16" i="1" s="1"/>
  <c r="F16" i="1" s="1"/>
  <c r="G16" i="1" s="1"/>
  <c r="I17" i="1"/>
  <c r="A4" i="1"/>
  <c r="D4" i="1" s="1"/>
  <c r="E4" i="1" s="1"/>
  <c r="F4" i="1" s="1"/>
  <c r="G4" i="1" s="1"/>
  <c r="AA6" i="2" l="1"/>
  <c r="AB6" i="2"/>
  <c r="J18" i="1"/>
  <c r="B18" i="1" s="1"/>
  <c r="C18" i="1" s="1"/>
  <c r="A17" i="1"/>
  <c r="D17" i="1" s="1"/>
  <c r="E17" i="1" s="1"/>
  <c r="I18" i="1"/>
  <c r="AB7" i="2" l="1"/>
  <c r="AA7" i="2"/>
  <c r="F17" i="1"/>
  <c r="G17" i="1"/>
  <c r="J19" i="1"/>
  <c r="B19" i="1" s="1"/>
  <c r="C19" i="1" s="1"/>
  <c r="A18" i="1"/>
  <c r="D18" i="1" s="1"/>
  <c r="E18" i="1" s="1"/>
  <c r="F18" i="1" s="1"/>
  <c r="G18" i="1" s="1"/>
  <c r="I19" i="1"/>
  <c r="A5" i="1"/>
  <c r="D5" i="1" s="1"/>
  <c r="E5" i="1" s="1"/>
  <c r="AA8" i="2" l="1"/>
  <c r="AB8" i="2"/>
  <c r="F5" i="1"/>
  <c r="G5" i="1"/>
  <c r="J20" i="1"/>
  <c r="B20" i="1" s="1"/>
  <c r="C20" i="1" s="1"/>
  <c r="A19" i="1"/>
  <c r="D19" i="1" s="1"/>
  <c r="E19" i="1" s="1"/>
  <c r="I20" i="1"/>
  <c r="AB9" i="2" l="1"/>
  <c r="AA9" i="2"/>
  <c r="F19" i="1"/>
  <c r="G19" i="1"/>
  <c r="J21" i="1"/>
  <c r="B21" i="1" s="1"/>
  <c r="C21" i="1" s="1"/>
  <c r="A20" i="1"/>
  <c r="D20" i="1" s="1"/>
  <c r="E20" i="1" s="1"/>
  <c r="F20" i="1" s="1"/>
  <c r="G20" i="1" s="1"/>
  <c r="I21" i="1"/>
  <c r="A6" i="1"/>
  <c r="D6" i="1" s="1"/>
  <c r="E6" i="1" s="1"/>
  <c r="F6" i="1" s="1"/>
  <c r="G6" i="1" s="1"/>
  <c r="AA10" i="2" l="1"/>
  <c r="AB10" i="2"/>
  <c r="J22" i="1"/>
  <c r="B22" i="1" s="1"/>
  <c r="C22" i="1" s="1"/>
  <c r="A21" i="1"/>
  <c r="D21" i="1" s="1"/>
  <c r="E21" i="1" s="1"/>
  <c r="F21" i="1" s="1"/>
  <c r="G21" i="1" s="1"/>
  <c r="I22" i="1"/>
  <c r="AB11" i="2" l="1"/>
  <c r="AA11" i="2"/>
  <c r="J23" i="1"/>
  <c r="B23" i="1" s="1"/>
  <c r="C23" i="1" s="1"/>
  <c r="I23" i="1"/>
  <c r="A22" i="1"/>
  <c r="D22" i="1" s="1"/>
  <c r="E22" i="1" s="1"/>
  <c r="F22" i="1" s="1"/>
  <c r="G22" i="1" s="1"/>
  <c r="A7" i="1"/>
  <c r="D7" i="1" s="1"/>
  <c r="E7" i="1" s="1"/>
  <c r="AA12" i="2" l="1"/>
  <c r="AB12" i="2"/>
  <c r="F7" i="1"/>
  <c r="G7" i="1" s="1"/>
  <c r="J24" i="1"/>
  <c r="B24" i="1" s="1"/>
  <c r="C24" i="1" s="1"/>
  <c r="I24" i="1"/>
  <c r="A23" i="1"/>
  <c r="D23" i="1" s="1"/>
  <c r="E23" i="1" s="1"/>
  <c r="AB13" i="2" l="1"/>
  <c r="AA13" i="2"/>
  <c r="F23" i="1"/>
  <c r="G23" i="1" s="1"/>
  <c r="J25" i="1"/>
  <c r="B25" i="1" s="1"/>
  <c r="C25" i="1" s="1"/>
  <c r="I25" i="1"/>
  <c r="A24" i="1"/>
  <c r="D24" i="1" s="1"/>
  <c r="E24" i="1" s="1"/>
  <c r="A8" i="1"/>
  <c r="D8" i="1" s="1"/>
  <c r="E8" i="1" s="1"/>
  <c r="F8" i="1" s="1"/>
  <c r="G8" i="1" s="1"/>
  <c r="AA14" i="2" l="1"/>
  <c r="AB14" i="2"/>
  <c r="F24" i="1"/>
  <c r="G24" i="1" s="1"/>
  <c r="J26" i="1"/>
  <c r="I26" i="1"/>
  <c r="A25" i="1"/>
  <c r="D25" i="1" s="1"/>
  <c r="E25" i="1" s="1"/>
  <c r="F25" i="1" s="1"/>
  <c r="G25" i="1" s="1"/>
  <c r="AB15" i="2" l="1"/>
  <c r="AA15" i="2"/>
  <c r="A26" i="1"/>
  <c r="I27" i="1"/>
  <c r="A27" i="1" s="1"/>
  <c r="B26" i="1"/>
  <c r="C26" i="1" s="1"/>
  <c r="D26" i="1" s="1"/>
  <c r="E26" i="1" s="1"/>
  <c r="F26" i="1" s="1"/>
  <c r="G26" i="1" s="1"/>
  <c r="J27" i="1"/>
  <c r="B27" i="1" s="1"/>
  <c r="C27" i="1" s="1"/>
  <c r="A9" i="1"/>
  <c r="D9" i="1" s="1"/>
  <c r="E9" i="1" s="1"/>
  <c r="F9" i="1" s="1"/>
  <c r="G9" i="1" s="1"/>
  <c r="AA16" i="2" l="1"/>
  <c r="AB16" i="2"/>
  <c r="D27" i="1"/>
  <c r="E27" i="1" s="1"/>
  <c r="F27" i="1" s="1"/>
  <c r="G27" i="1" s="1"/>
  <c r="A10" i="1"/>
  <c r="D10" i="1" s="1"/>
  <c r="E10" i="1" s="1"/>
  <c r="F10" i="1" s="1"/>
  <c r="G10" i="1" s="1"/>
  <c r="AB17" i="2" l="1"/>
  <c r="AA17" i="2"/>
  <c r="A11" i="1"/>
  <c r="D11" i="1" s="1"/>
  <c r="E11" i="1" s="1"/>
  <c r="AA18" i="2" l="1"/>
  <c r="AB18" i="2"/>
  <c r="F11" i="1"/>
  <c r="G11" i="1" s="1"/>
  <c r="A12" i="1"/>
  <c r="D12" i="1" s="1"/>
  <c r="E12" i="1" s="1"/>
  <c r="AB19" i="2" l="1"/>
  <c r="AA19" i="2"/>
  <c r="F12" i="1"/>
  <c r="G12" i="1"/>
  <c r="A13" i="1"/>
  <c r="D13" i="1" s="1"/>
  <c r="E13" i="1" s="1"/>
  <c r="F13" i="1" s="1"/>
  <c r="G13" i="1" s="1"/>
  <c r="AA20" i="2" l="1"/>
  <c r="AB20" i="2"/>
  <c r="AB21" i="2" l="1"/>
  <c r="AA21" i="2"/>
  <c r="AA22" i="2" l="1"/>
  <c r="AB22" i="2"/>
  <c r="AB23" i="2" l="1"/>
  <c r="AA23" i="2"/>
  <c r="AA24" i="2" l="1"/>
  <c r="AB24" i="2"/>
  <c r="AB25" i="2" l="1"/>
  <c r="AA25" i="2"/>
  <c r="AA26" i="2" l="1"/>
  <c r="AB26" i="2"/>
  <c r="AB27" i="2" l="1"/>
  <c r="AA27" i="2"/>
</calcChain>
</file>

<file path=xl/sharedStrings.xml><?xml version="1.0" encoding="utf-8"?>
<sst xmlns="http://schemas.openxmlformats.org/spreadsheetml/2006/main" count="37" uniqueCount="21">
  <si>
    <t>a</t>
  </si>
  <si>
    <t>m</t>
  </si>
  <si>
    <t>для генератора лемера</t>
  </si>
  <si>
    <t>lamda</t>
  </si>
  <si>
    <t>Т обслуж</t>
  </si>
  <si>
    <t>seed1</t>
  </si>
  <si>
    <t>seed2</t>
  </si>
  <si>
    <t>рандомные числа</t>
  </si>
  <si>
    <t>P отказ</t>
  </si>
  <si>
    <t xml:space="preserve">отношение </t>
  </si>
  <si>
    <t>rho загрузки</t>
  </si>
  <si>
    <t>P обсл</t>
  </si>
  <si>
    <t>mu интенсивности</t>
  </si>
  <si>
    <t>n станций</t>
  </si>
  <si>
    <t>len очереди</t>
  </si>
  <si>
    <t>mu интенс обсл</t>
  </si>
  <si>
    <t>rho плтн загрзк</t>
  </si>
  <si>
    <t>Р простоя</t>
  </si>
  <si>
    <t>Р отказа</t>
  </si>
  <si>
    <t>avg длна очереди</t>
  </si>
  <si>
    <t>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</si>
</sst>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152400</xdr:rowOff>
        </xdr:from>
        <xdr:to>
          <xdr:col>12</xdr:col>
          <xdr:colOff>396240</xdr:colOff>
          <xdr:row>3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27"/>
  <sheetViews>
    <sheetView workbookViewId="0">
      <selection activeCell="D5" sqref="D5"/>
    </sheetView>
  </sheetViews>
  <sheetFormatPr defaultRowHeight="14.4" x14ac:dyDescent="0.3"/>
  <cols>
    <col min="3" max="3" width="18.33203125" customWidth="1"/>
    <col min="4" max="4" width="15.33203125" customWidth="1"/>
  </cols>
  <sheetData>
    <row r="1" spans="1:17" x14ac:dyDescent="0.3">
      <c r="A1" t="s">
        <v>3</v>
      </c>
      <c r="B1" t="s">
        <v>4</v>
      </c>
      <c r="C1" t="s">
        <v>12</v>
      </c>
      <c r="D1" t="s">
        <v>10</v>
      </c>
      <c r="E1" t="s">
        <v>8</v>
      </c>
      <c r="F1" t="s">
        <v>11</v>
      </c>
      <c r="G1" t="s">
        <v>9</v>
      </c>
      <c r="I1" s="1" t="s">
        <v>7</v>
      </c>
      <c r="J1" s="1"/>
    </row>
    <row r="2" spans="1:17" x14ac:dyDescent="0.3">
      <c r="A2">
        <f t="shared" ref="A2:A27" si="0">I2 / $P$4</f>
        <v>0.989776611328125</v>
      </c>
      <c r="B2">
        <f t="shared" ref="B2:B27" si="1">2 *J2 / $P$4</f>
        <v>7.53173828125E-2</v>
      </c>
      <c r="C2">
        <f t="shared" ref="C2:C27" si="2">1/B2</f>
        <v>13.277147487844408</v>
      </c>
      <c r="D2">
        <f t="shared" ref="D2:D27" si="3">A2/C2</f>
        <v>7.4547383934259415E-2</v>
      </c>
      <c r="E2">
        <f>D2/ (1+D2)</f>
        <v>6.9375613443232023E-2</v>
      </c>
      <c r="F2">
        <f>1-E2</f>
        <v>0.93062438655676794</v>
      </c>
      <c r="G2">
        <f>E2/F2</f>
        <v>7.4547383934259415E-2</v>
      </c>
      <c r="I2">
        <f>N4</f>
        <v>32433</v>
      </c>
      <c r="J2">
        <f>M4</f>
        <v>1234</v>
      </c>
      <c r="N2" s="1" t="s">
        <v>2</v>
      </c>
      <c r="O2" s="1"/>
      <c r="P2" s="1"/>
      <c r="Q2" s="1"/>
    </row>
    <row r="3" spans="1:17" x14ac:dyDescent="0.3">
      <c r="A3">
        <f t="shared" si="0"/>
        <v>0.424835205078125</v>
      </c>
      <c r="B3">
        <f t="shared" si="1"/>
        <v>0.7686767578125</v>
      </c>
      <c r="C3">
        <f t="shared" si="2"/>
        <v>1.3009369541051294</v>
      </c>
      <c r="D3">
        <f t="shared" si="3"/>
        <v>0.32656094804406166</v>
      </c>
      <c r="E3">
        <f t="shared" ref="E3:E27" si="4">D3/ (1+D3)</f>
        <v>0.2461710851096266</v>
      </c>
      <c r="F3">
        <f t="shared" ref="F3:F27" si="5">1-E3</f>
        <v>0.7538289148903734</v>
      </c>
      <c r="G3">
        <f t="shared" ref="G3:G27" si="6">E3/F3</f>
        <v>0.32656094804406166</v>
      </c>
      <c r="I3">
        <f t="shared" ref="I3:I27" si="7">MOD(I2*$N$4, $P$4)</f>
        <v>13921</v>
      </c>
      <c r="J3">
        <f t="shared" ref="J3:J27" si="8">MOD(J2*$N$4, $P$4)</f>
        <v>12594</v>
      </c>
      <c r="M3" t="s">
        <v>6</v>
      </c>
      <c r="N3" t="s">
        <v>5</v>
      </c>
      <c r="O3" t="s">
        <v>0</v>
      </c>
      <c r="P3" t="s">
        <v>1</v>
      </c>
    </row>
    <row r="4" spans="1:17" x14ac:dyDescent="0.3">
      <c r="A4">
        <f t="shared" si="0"/>
        <v>0.680206298828125</v>
      </c>
      <c r="B4">
        <f t="shared" si="1"/>
        <v>0.4932861328125</v>
      </c>
      <c r="C4">
        <f t="shared" si="2"/>
        <v>2.0272209849047265</v>
      </c>
      <c r="D4">
        <f t="shared" si="3"/>
        <v>0.33553633466362953</v>
      </c>
      <c r="E4">
        <f t="shared" si="4"/>
        <v>0.25123714417559317</v>
      </c>
      <c r="F4">
        <f t="shared" si="5"/>
        <v>0.74876285582440683</v>
      </c>
      <c r="G4">
        <f t="shared" si="6"/>
        <v>0.33553633466362953</v>
      </c>
      <c r="I4">
        <f t="shared" si="7"/>
        <v>22289</v>
      </c>
      <c r="J4">
        <f t="shared" si="8"/>
        <v>8082</v>
      </c>
      <c r="M4">
        <v>1234</v>
      </c>
      <c r="N4">
        <v>32433</v>
      </c>
      <c r="O4">
        <v>16807</v>
      </c>
      <c r="P4">
        <v>32768</v>
      </c>
    </row>
    <row r="5" spans="1:17" x14ac:dyDescent="0.3">
      <c r="A5">
        <f t="shared" si="0"/>
        <v>0.130889892578125</v>
      </c>
      <c r="B5">
        <f t="shared" si="1"/>
        <v>0.7491455078125</v>
      </c>
      <c r="C5">
        <f t="shared" si="2"/>
        <v>1.3348541632719571</v>
      </c>
      <c r="D5">
        <f t="shared" si="3"/>
        <v>9.8055575042963028E-2</v>
      </c>
      <c r="E5">
        <f t="shared" si="4"/>
        <v>8.9299282542348965E-2</v>
      </c>
      <c r="F5">
        <f t="shared" si="5"/>
        <v>0.91070071745765102</v>
      </c>
      <c r="G5">
        <f t="shared" si="6"/>
        <v>9.8055575042963028E-2</v>
      </c>
      <c r="I5">
        <f t="shared" si="7"/>
        <v>4289</v>
      </c>
      <c r="J5">
        <f t="shared" si="8"/>
        <v>12274</v>
      </c>
    </row>
    <row r="6" spans="1:17" x14ac:dyDescent="0.3">
      <c r="A6">
        <f t="shared" si="0"/>
        <v>0.151885986328125</v>
      </c>
      <c r="B6">
        <f t="shared" si="1"/>
        <v>1.0362548828125</v>
      </c>
      <c r="C6">
        <f t="shared" si="2"/>
        <v>0.96501354694310282</v>
      </c>
      <c r="D6">
        <f t="shared" si="3"/>
        <v>0.15739259496331215</v>
      </c>
      <c r="E6">
        <f t="shared" si="4"/>
        <v>0.13598894242821841</v>
      </c>
      <c r="F6">
        <f t="shared" si="5"/>
        <v>0.86401105757178165</v>
      </c>
      <c r="G6">
        <f t="shared" si="6"/>
        <v>0.15739259496331215</v>
      </c>
      <c r="I6">
        <f t="shared" si="7"/>
        <v>4977</v>
      </c>
      <c r="J6">
        <f t="shared" si="8"/>
        <v>16978</v>
      </c>
    </row>
    <row r="7" spans="1:17" x14ac:dyDescent="0.3">
      <c r="A7">
        <f t="shared" si="0"/>
        <v>0.118194580078125</v>
      </c>
      <c r="B7">
        <f t="shared" si="1"/>
        <v>0.8546142578125</v>
      </c>
      <c r="C7">
        <f t="shared" si="2"/>
        <v>1.1701185544922155</v>
      </c>
      <c r="D7">
        <f t="shared" si="3"/>
        <v>0.1010107733309269</v>
      </c>
      <c r="E7">
        <f t="shared" si="4"/>
        <v>9.1743673883712712E-2</v>
      </c>
      <c r="F7">
        <f t="shared" si="5"/>
        <v>0.90825632611628726</v>
      </c>
      <c r="G7">
        <f t="shared" si="6"/>
        <v>0.1010107733309269</v>
      </c>
      <c r="I7">
        <f t="shared" si="7"/>
        <v>3873</v>
      </c>
      <c r="J7">
        <f t="shared" si="8"/>
        <v>14002</v>
      </c>
    </row>
    <row r="8" spans="1:17" x14ac:dyDescent="0.3">
      <c r="A8">
        <f t="shared" si="0"/>
        <v>0.404815673828125</v>
      </c>
      <c r="B8">
        <f t="shared" si="1"/>
        <v>1.7042236328125</v>
      </c>
      <c r="C8">
        <f t="shared" si="2"/>
        <v>0.58677745147195759</v>
      </c>
      <c r="D8">
        <f t="shared" si="3"/>
        <v>0.68989643827080727</v>
      </c>
      <c r="E8">
        <f t="shared" si="4"/>
        <v>0.40824776160647236</v>
      </c>
      <c r="F8">
        <f t="shared" si="5"/>
        <v>0.59175223839352764</v>
      </c>
      <c r="G8">
        <f t="shared" si="6"/>
        <v>0.68989643827080727</v>
      </c>
      <c r="I8">
        <f t="shared" si="7"/>
        <v>13265</v>
      </c>
      <c r="J8">
        <f t="shared" si="8"/>
        <v>27922</v>
      </c>
    </row>
    <row r="9" spans="1:17" x14ac:dyDescent="0.3">
      <c r="A9">
        <f t="shared" si="0"/>
        <v>0.386749267578125</v>
      </c>
      <c r="B9">
        <f t="shared" si="1"/>
        <v>1.0850830078125</v>
      </c>
      <c r="C9">
        <f t="shared" si="2"/>
        <v>0.92158848014399819</v>
      </c>
      <c r="D9">
        <f t="shared" si="3"/>
        <v>0.41965505853295326</v>
      </c>
      <c r="E9">
        <f t="shared" si="4"/>
        <v>0.29560353834586939</v>
      </c>
      <c r="F9">
        <f t="shared" si="5"/>
        <v>0.70439646165413061</v>
      </c>
      <c r="G9">
        <f t="shared" si="6"/>
        <v>0.41965505853295332</v>
      </c>
      <c r="I9">
        <f t="shared" si="7"/>
        <v>12673</v>
      </c>
      <c r="J9">
        <f t="shared" si="8"/>
        <v>17778</v>
      </c>
    </row>
    <row r="10" spans="1:17" x14ac:dyDescent="0.3">
      <c r="A10">
        <f t="shared" si="0"/>
        <v>0.438995361328125</v>
      </c>
      <c r="B10">
        <f t="shared" si="1"/>
        <v>0.4971923828125</v>
      </c>
      <c r="C10">
        <f t="shared" si="2"/>
        <v>2.0112938865700958</v>
      </c>
      <c r="D10">
        <f t="shared" si="3"/>
        <v>0.21826514974236488</v>
      </c>
      <c r="E10">
        <f t="shared" si="4"/>
        <v>0.17916062836445987</v>
      </c>
      <c r="F10">
        <f t="shared" si="5"/>
        <v>0.8208393716355401</v>
      </c>
      <c r="G10">
        <f t="shared" si="6"/>
        <v>0.21826514974236488</v>
      </c>
      <c r="I10">
        <f t="shared" si="7"/>
        <v>14385</v>
      </c>
      <c r="J10">
        <f t="shared" si="8"/>
        <v>8146</v>
      </c>
    </row>
    <row r="11" spans="1:17" x14ac:dyDescent="0.3">
      <c r="A11">
        <f t="shared" si="0"/>
        <v>0.936553955078125</v>
      </c>
      <c r="B11">
        <f t="shared" si="1"/>
        <v>1.4405517578125</v>
      </c>
      <c r="C11">
        <f t="shared" si="2"/>
        <v>0.69417845945258871</v>
      </c>
      <c r="D11">
        <f t="shared" si="3"/>
        <v>1.3491544462740421</v>
      </c>
      <c r="E11">
        <f t="shared" si="4"/>
        <v>0.57431491931657164</v>
      </c>
      <c r="F11">
        <f t="shared" si="5"/>
        <v>0.42568508068342836</v>
      </c>
      <c r="G11">
        <f t="shared" si="6"/>
        <v>1.3491544462740419</v>
      </c>
      <c r="I11">
        <f t="shared" si="7"/>
        <v>30689</v>
      </c>
      <c r="J11">
        <f t="shared" si="8"/>
        <v>23602</v>
      </c>
    </row>
    <row r="12" spans="1:17" x14ac:dyDescent="0.3">
      <c r="A12">
        <f t="shared" si="0"/>
        <v>0.254425048828125</v>
      </c>
      <c r="B12">
        <f t="shared" si="1"/>
        <v>1.4151611328125</v>
      </c>
      <c r="C12">
        <f t="shared" si="2"/>
        <v>0.70663331320624512</v>
      </c>
      <c r="D12">
        <f t="shared" si="3"/>
        <v>0.360052440315485</v>
      </c>
      <c r="E12">
        <f t="shared" si="4"/>
        <v>0.26473423350644137</v>
      </c>
      <c r="F12">
        <f t="shared" si="5"/>
        <v>0.73526576649355868</v>
      </c>
      <c r="G12">
        <f t="shared" si="6"/>
        <v>0.360052440315485</v>
      </c>
      <c r="I12">
        <f t="shared" si="7"/>
        <v>8337</v>
      </c>
      <c r="J12">
        <f t="shared" si="8"/>
        <v>23186</v>
      </c>
    </row>
    <row r="13" spans="1:17" x14ac:dyDescent="0.3">
      <c r="A13">
        <f t="shared" si="0"/>
        <v>0.767608642578125</v>
      </c>
      <c r="B13">
        <f t="shared" si="1"/>
        <v>1.9210205078125</v>
      </c>
      <c r="C13">
        <f t="shared" si="2"/>
        <v>0.52055664993327821</v>
      </c>
      <c r="D13">
        <f t="shared" si="3"/>
        <v>1.4745919443666937</v>
      </c>
      <c r="E13">
        <f t="shared" si="4"/>
        <v>0.59589297044449752</v>
      </c>
      <c r="F13">
        <f t="shared" si="5"/>
        <v>0.40410702955550248</v>
      </c>
      <c r="G13">
        <f t="shared" si="6"/>
        <v>1.4745919443666942</v>
      </c>
      <c r="I13">
        <f t="shared" si="7"/>
        <v>25153</v>
      </c>
      <c r="J13">
        <f t="shared" si="8"/>
        <v>31474</v>
      </c>
    </row>
    <row r="14" spans="1:17" x14ac:dyDescent="0.3">
      <c r="A14">
        <f t="shared" si="0"/>
        <v>0.851104736328125</v>
      </c>
      <c r="B14">
        <f t="shared" si="1"/>
        <v>0.4581298828125</v>
      </c>
      <c r="C14">
        <f t="shared" si="2"/>
        <v>2.182787103650413</v>
      </c>
      <c r="D14">
        <f t="shared" si="3"/>
        <v>0.38991651311516762</v>
      </c>
      <c r="E14">
        <f t="shared" si="4"/>
        <v>0.28053232653611865</v>
      </c>
      <c r="F14">
        <f t="shared" si="5"/>
        <v>0.71946767346388141</v>
      </c>
      <c r="G14">
        <f t="shared" si="6"/>
        <v>0.38991651311516762</v>
      </c>
      <c r="I14">
        <f t="shared" si="7"/>
        <v>27889</v>
      </c>
      <c r="J14">
        <f t="shared" si="8"/>
        <v>7506</v>
      </c>
    </row>
    <row r="15" spans="1:17" x14ac:dyDescent="0.3">
      <c r="A15">
        <f t="shared" si="0"/>
        <v>0.879913330078125</v>
      </c>
      <c r="B15">
        <f t="shared" si="1"/>
        <v>0.5264892578125</v>
      </c>
      <c r="C15">
        <f t="shared" si="2"/>
        <v>1.899373985624855</v>
      </c>
      <c r="D15">
        <f t="shared" si="3"/>
        <v>0.46326491609215736</v>
      </c>
      <c r="E15">
        <f t="shared" si="4"/>
        <v>0.31659674949999322</v>
      </c>
      <c r="F15">
        <f t="shared" si="5"/>
        <v>0.68340325050000672</v>
      </c>
      <c r="G15">
        <f t="shared" si="6"/>
        <v>0.46326491609215736</v>
      </c>
      <c r="I15">
        <f t="shared" si="7"/>
        <v>28833</v>
      </c>
      <c r="J15">
        <f t="shared" si="8"/>
        <v>8626</v>
      </c>
    </row>
    <row r="16" spans="1:17" x14ac:dyDescent="0.3">
      <c r="A16">
        <f t="shared" si="0"/>
        <v>0.229034423828125</v>
      </c>
      <c r="B16">
        <f t="shared" si="1"/>
        <v>1.6260986328125</v>
      </c>
      <c r="C16">
        <f t="shared" si="2"/>
        <v>0.61496884618271896</v>
      </c>
      <c r="D16">
        <f t="shared" si="3"/>
        <v>0.37243256345391279</v>
      </c>
      <c r="E16">
        <f t="shared" si="4"/>
        <v>0.27136674935534588</v>
      </c>
      <c r="F16">
        <f t="shared" si="5"/>
        <v>0.72863325064465412</v>
      </c>
      <c r="G16">
        <f t="shared" si="6"/>
        <v>0.37243256345391279</v>
      </c>
      <c r="I16">
        <f t="shared" si="7"/>
        <v>7505</v>
      </c>
      <c r="J16">
        <f t="shared" si="8"/>
        <v>26642</v>
      </c>
    </row>
    <row r="17" spans="1:10" x14ac:dyDescent="0.3">
      <c r="A17">
        <f t="shared" si="0"/>
        <v>0.273468017578125</v>
      </c>
      <c r="B17">
        <f t="shared" si="1"/>
        <v>1.2569580078125</v>
      </c>
      <c r="C17">
        <f t="shared" si="2"/>
        <v>0.79557152568709333</v>
      </c>
      <c r="D17">
        <f t="shared" si="3"/>
        <v>0.34373781457543373</v>
      </c>
      <c r="E17">
        <f t="shared" si="4"/>
        <v>0.25580720498220172</v>
      </c>
      <c r="F17">
        <f t="shared" si="5"/>
        <v>0.74419279501779823</v>
      </c>
      <c r="G17">
        <f t="shared" si="6"/>
        <v>0.34373781457543379</v>
      </c>
      <c r="I17">
        <f t="shared" si="7"/>
        <v>8961</v>
      </c>
      <c r="J17">
        <f t="shared" si="8"/>
        <v>20594</v>
      </c>
    </row>
    <row r="18" spans="1:10" x14ac:dyDescent="0.3">
      <c r="A18">
        <f t="shared" si="0"/>
        <v>0.388214111328125</v>
      </c>
      <c r="B18">
        <f t="shared" si="1"/>
        <v>0.9190673828125</v>
      </c>
      <c r="C18">
        <f t="shared" si="2"/>
        <v>1.0880595032540843</v>
      </c>
      <c r="D18">
        <f t="shared" si="3"/>
        <v>0.3567949272692203</v>
      </c>
      <c r="E18">
        <f t="shared" si="4"/>
        <v>0.2629689425411772</v>
      </c>
      <c r="F18">
        <f t="shared" si="5"/>
        <v>0.7370310574588228</v>
      </c>
      <c r="G18">
        <f t="shared" si="6"/>
        <v>0.3567949272692203</v>
      </c>
      <c r="I18">
        <f t="shared" si="7"/>
        <v>12721</v>
      </c>
      <c r="J18">
        <f t="shared" si="8"/>
        <v>15058</v>
      </c>
    </row>
    <row r="19" spans="1:10" x14ac:dyDescent="0.3">
      <c r="A19">
        <f t="shared" si="0"/>
        <v>0.948272705078125</v>
      </c>
      <c r="B19">
        <f t="shared" si="1"/>
        <v>0.1124267578125</v>
      </c>
      <c r="C19">
        <f t="shared" si="2"/>
        <v>8.894679695982628</v>
      </c>
      <c r="D19">
        <f t="shared" si="3"/>
        <v>0.1066112257540226</v>
      </c>
      <c r="E19">
        <f t="shared" si="4"/>
        <v>9.6340271337280042E-2</v>
      </c>
      <c r="F19">
        <f t="shared" si="5"/>
        <v>0.90365972866271993</v>
      </c>
      <c r="G19">
        <f t="shared" si="6"/>
        <v>0.1066112257540226</v>
      </c>
      <c r="I19">
        <f t="shared" si="7"/>
        <v>31073</v>
      </c>
      <c r="J19">
        <f t="shared" si="8"/>
        <v>1842</v>
      </c>
    </row>
    <row r="20" spans="1:10" x14ac:dyDescent="0.3">
      <c r="A20">
        <f t="shared" si="0"/>
        <v>0.328643798828125</v>
      </c>
      <c r="B20">
        <f t="shared" si="1"/>
        <v>0.3370361328125</v>
      </c>
      <c r="C20">
        <f t="shared" si="2"/>
        <v>2.9670409272002898</v>
      </c>
      <c r="D20">
        <f t="shared" si="3"/>
        <v>0.11076483502984047</v>
      </c>
      <c r="E20">
        <f t="shared" si="4"/>
        <v>9.9719428934626653E-2</v>
      </c>
      <c r="F20">
        <f t="shared" si="5"/>
        <v>0.9002805710653734</v>
      </c>
      <c r="G20">
        <f t="shared" si="6"/>
        <v>0.11076483502984047</v>
      </c>
      <c r="I20">
        <f t="shared" si="7"/>
        <v>10769</v>
      </c>
      <c r="J20">
        <f t="shared" si="8"/>
        <v>5522</v>
      </c>
    </row>
    <row r="21" spans="1:10" x14ac:dyDescent="0.3">
      <c r="A21">
        <f t="shared" si="0"/>
        <v>0.904327392578125</v>
      </c>
      <c r="B21">
        <f t="shared" si="1"/>
        <v>1.0928955078125</v>
      </c>
      <c r="C21">
        <f t="shared" si="2"/>
        <v>0.91500055847202055</v>
      </c>
      <c r="D21">
        <f t="shared" si="3"/>
        <v>0.98833534494042397</v>
      </c>
      <c r="E21">
        <f t="shared" si="4"/>
        <v>0.49706672843460276</v>
      </c>
      <c r="F21">
        <f t="shared" si="5"/>
        <v>0.50293327156539724</v>
      </c>
      <c r="G21">
        <f t="shared" si="6"/>
        <v>0.98833534494042385</v>
      </c>
      <c r="I21">
        <f t="shared" si="7"/>
        <v>29633</v>
      </c>
      <c r="J21">
        <f t="shared" si="8"/>
        <v>17906</v>
      </c>
    </row>
    <row r="22" spans="1:10" x14ac:dyDescent="0.3">
      <c r="A22">
        <f t="shared" si="0"/>
        <v>5.0323486328125E-2</v>
      </c>
      <c r="B22">
        <f t="shared" si="1"/>
        <v>1.8800048828125</v>
      </c>
      <c r="C22">
        <f t="shared" si="2"/>
        <v>0.53191351210960325</v>
      </c>
      <c r="D22">
        <f t="shared" si="3"/>
        <v>9.4608400017023087E-2</v>
      </c>
      <c r="E22">
        <f t="shared" si="4"/>
        <v>8.6431275345184411E-2</v>
      </c>
      <c r="F22">
        <f t="shared" si="5"/>
        <v>0.91356872465481564</v>
      </c>
      <c r="G22">
        <f t="shared" si="6"/>
        <v>9.4608400017023073E-2</v>
      </c>
      <c r="I22">
        <f t="shared" si="7"/>
        <v>1649</v>
      </c>
      <c r="J22">
        <f t="shared" si="8"/>
        <v>30802</v>
      </c>
    </row>
    <row r="23" spans="1:10" x14ac:dyDescent="0.3">
      <c r="A23">
        <f t="shared" si="0"/>
        <v>0.141632080078125</v>
      </c>
      <c r="B23">
        <f t="shared" si="1"/>
        <v>0.1983642578125</v>
      </c>
      <c r="C23">
        <f t="shared" si="2"/>
        <v>5.0412307692307694</v>
      </c>
      <c r="D23">
        <f t="shared" si="3"/>
        <v>2.8094742447137833E-2</v>
      </c>
      <c r="E23">
        <f t="shared" si="4"/>
        <v>2.7326997490780765E-2</v>
      </c>
      <c r="F23">
        <f t="shared" si="5"/>
        <v>0.97267300250921929</v>
      </c>
      <c r="G23">
        <f t="shared" si="6"/>
        <v>2.8094742447137833E-2</v>
      </c>
      <c r="I23">
        <f t="shared" si="7"/>
        <v>4641</v>
      </c>
      <c r="J23">
        <f t="shared" si="8"/>
        <v>3250</v>
      </c>
    </row>
    <row r="24" spans="1:10" x14ac:dyDescent="0.3">
      <c r="A24">
        <f t="shared" si="0"/>
        <v>0.553253173828125</v>
      </c>
      <c r="B24">
        <f t="shared" si="1"/>
        <v>1.5479736328125</v>
      </c>
      <c r="C24">
        <f t="shared" si="2"/>
        <v>0.64600583550193202</v>
      </c>
      <c r="D24">
        <f t="shared" si="3"/>
        <v>0.8564213253557682</v>
      </c>
      <c r="E24">
        <f t="shared" si="4"/>
        <v>0.46132917870443119</v>
      </c>
      <c r="F24">
        <f t="shared" si="5"/>
        <v>0.53867082129556887</v>
      </c>
      <c r="G24">
        <f t="shared" si="6"/>
        <v>0.85642132535576809</v>
      </c>
      <c r="I24">
        <f t="shared" si="7"/>
        <v>18129</v>
      </c>
      <c r="J24">
        <f t="shared" si="8"/>
        <v>25362</v>
      </c>
    </row>
    <row r="25" spans="1:10" x14ac:dyDescent="0.3">
      <c r="A25">
        <f t="shared" si="0"/>
        <v>0.660186767578125</v>
      </c>
      <c r="B25">
        <f t="shared" si="1"/>
        <v>1.4288330078125</v>
      </c>
      <c r="C25">
        <f t="shared" si="2"/>
        <v>0.6998718496369073</v>
      </c>
      <c r="D25">
        <f t="shared" si="3"/>
        <v>0.9432966448366642</v>
      </c>
      <c r="E25">
        <f t="shared" si="4"/>
        <v>0.48541052512131988</v>
      </c>
      <c r="F25">
        <f t="shared" si="5"/>
        <v>0.51458947487868012</v>
      </c>
      <c r="G25">
        <f t="shared" si="6"/>
        <v>0.9432966448366642</v>
      </c>
      <c r="I25">
        <f t="shared" si="7"/>
        <v>21633</v>
      </c>
      <c r="J25">
        <f t="shared" si="8"/>
        <v>23410</v>
      </c>
    </row>
    <row r="26" spans="1:10" x14ac:dyDescent="0.3">
      <c r="A26">
        <f t="shared" si="0"/>
        <v>0.837432861328125</v>
      </c>
      <c r="B26">
        <f t="shared" si="1"/>
        <v>1.3409423828125</v>
      </c>
      <c r="C26">
        <f t="shared" si="2"/>
        <v>0.74574419663177061</v>
      </c>
      <c r="D26">
        <f t="shared" si="3"/>
        <v>1.1229492165148258</v>
      </c>
      <c r="E26">
        <f t="shared" si="4"/>
        <v>0.52895717324709901</v>
      </c>
      <c r="F26">
        <f t="shared" si="5"/>
        <v>0.47104282675290099</v>
      </c>
      <c r="G26">
        <f t="shared" si="6"/>
        <v>1.1229492165148258</v>
      </c>
      <c r="I26">
        <f t="shared" si="7"/>
        <v>27441</v>
      </c>
      <c r="J26">
        <f t="shared" si="8"/>
        <v>21970</v>
      </c>
    </row>
    <row r="27" spans="1:10" x14ac:dyDescent="0.3">
      <c r="A27">
        <f t="shared" si="0"/>
        <v>0.459991455078125</v>
      </c>
      <c r="B27">
        <f t="shared" si="1"/>
        <v>0.7843017578125</v>
      </c>
      <c r="C27">
        <f t="shared" si="2"/>
        <v>1.2750194552529184</v>
      </c>
      <c r="D27">
        <f t="shared" si="3"/>
        <v>0.36077210679650307</v>
      </c>
      <c r="E27">
        <f t="shared" si="4"/>
        <v>0.265123090776621</v>
      </c>
      <c r="F27">
        <f t="shared" si="5"/>
        <v>0.734876909223379</v>
      </c>
      <c r="G27">
        <f t="shared" si="6"/>
        <v>0.36077210679650307</v>
      </c>
      <c r="I27">
        <f t="shared" si="7"/>
        <v>15073</v>
      </c>
      <c r="J27">
        <f t="shared" si="8"/>
        <v>12850</v>
      </c>
    </row>
  </sheetData>
  <mergeCells count="2">
    <mergeCell ref="N2:Q2"/>
    <mergeCell ref="I1:J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I27"/>
  <sheetViews>
    <sheetView tabSelected="1" workbookViewId="0">
      <selection activeCell="I12" sqref="I12"/>
    </sheetView>
  </sheetViews>
  <sheetFormatPr defaultRowHeight="14.4" x14ac:dyDescent="0.3"/>
  <cols>
    <col min="3" max="3" width="14.21875" customWidth="1"/>
    <col min="4" max="4" width="14.5546875" customWidth="1"/>
    <col min="7" max="7" width="15" customWidth="1"/>
    <col min="9" max="9" width="9.6640625" customWidth="1"/>
    <col min="10" max="10" width="18.33203125" customWidth="1"/>
  </cols>
  <sheetData>
    <row r="1" spans="1:35" x14ac:dyDescent="0.3">
      <c r="A1" t="s">
        <v>3</v>
      </c>
      <c r="B1" t="s">
        <v>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O1" t="s">
        <v>13</v>
      </c>
      <c r="P1" t="s">
        <v>14</v>
      </c>
      <c r="AA1" s="1" t="s">
        <v>7</v>
      </c>
      <c r="AB1" s="1"/>
    </row>
    <row r="2" spans="1:35" x14ac:dyDescent="0.3">
      <c r="A2">
        <f>L9</f>
        <v>0</v>
      </c>
      <c r="B2">
        <f ca="1">3 *_xlfn.POISSON.DIST(RAND(), RAND(), TRUE)</f>
        <v>1.3007812255598847</v>
      </c>
      <c r="C2">
        <v>0.51650006554147043</v>
      </c>
      <c r="D2">
        <v>0</v>
      </c>
      <c r="E2">
        <v>1</v>
      </c>
      <c r="F2">
        <v>0</v>
      </c>
      <c r="G2">
        <v>0</v>
      </c>
      <c r="O2">
        <v>2</v>
      </c>
      <c r="P2">
        <v>1</v>
      </c>
      <c r="AA2">
        <f>AF4</f>
        <v>32433</v>
      </c>
      <c r="AB2">
        <f>AE4</f>
        <v>1234</v>
      </c>
      <c r="AF2" s="1" t="s">
        <v>2</v>
      </c>
      <c r="AG2" s="1"/>
      <c r="AH2" s="1"/>
      <c r="AI2" s="1"/>
    </row>
    <row r="3" spans="1:35" x14ac:dyDescent="0.3">
      <c r="A3">
        <f ca="1">_xlfn.POISSON.DIST(RAND(), RAND(), TRUE)</f>
        <v>0.66664707962501457</v>
      </c>
      <c r="B3">
        <f t="shared" ref="B3:B27" ca="1" si="0">3 *_xlfn.POISSON.DIST(RAND(), RAND(), TRUE)</f>
        <v>2.319925326051925</v>
      </c>
      <c r="C3">
        <v>0.33435179564950679</v>
      </c>
      <c r="D3">
        <v>0.61575345258002345</v>
      </c>
      <c r="E3">
        <v>0.28928988998073774</v>
      </c>
      <c r="F3">
        <v>0.13507775029825944</v>
      </c>
      <c r="G3">
        <v>0.13507775029825944</v>
      </c>
      <c r="O3">
        <f>O2</f>
        <v>2</v>
      </c>
      <c r="P3">
        <f>P2</f>
        <v>1</v>
      </c>
      <c r="AA3">
        <f t="shared" ref="AA3:AA27" si="1">MOD(AA2*$AF$4, $AH$4)</f>
        <v>13921</v>
      </c>
      <c r="AB3">
        <f t="shared" ref="AB3:AB27" si="2">MOD(AB2*$AF$4, $AH$4)</f>
        <v>12594</v>
      </c>
      <c r="AE3" t="s">
        <v>6</v>
      </c>
      <c r="AF3" t="s">
        <v>5</v>
      </c>
      <c r="AG3" t="s">
        <v>0</v>
      </c>
      <c r="AH3" t="s">
        <v>1</v>
      </c>
    </row>
    <row r="4" spans="1:35" x14ac:dyDescent="0.3">
      <c r="A4">
        <f t="shared" ref="A4:A27" ca="1" si="3">_xlfn.POISSON.DIST(RAND(), RAND(), TRUE)</f>
        <v>0.91540792694809869</v>
      </c>
      <c r="B4">
        <f t="shared" ca="1" si="0"/>
        <v>1.7614424041199994</v>
      </c>
      <c r="C4">
        <v>0.43618721828422991</v>
      </c>
      <c r="D4">
        <v>1.0492193588587344</v>
      </c>
      <c r="E4" t="s">
        <v>20</v>
      </c>
      <c r="F4" t="s">
        <v>20</v>
      </c>
      <c r="G4" t="s">
        <v>20</v>
      </c>
      <c r="O4">
        <f t="shared" ref="O4:O27" si="4">O3</f>
        <v>2</v>
      </c>
      <c r="P4">
        <f t="shared" ref="P4:P27" si="5">P3</f>
        <v>1</v>
      </c>
      <c r="AA4">
        <f t="shared" si="1"/>
        <v>22289</v>
      </c>
      <c r="AB4">
        <f t="shared" si="2"/>
        <v>8082</v>
      </c>
      <c r="AE4">
        <v>1234</v>
      </c>
      <c r="AF4">
        <v>32433</v>
      </c>
      <c r="AG4">
        <v>16807</v>
      </c>
      <c r="AH4">
        <v>32768</v>
      </c>
    </row>
    <row r="5" spans="1:35" x14ac:dyDescent="0.3">
      <c r="A5">
        <f t="shared" ca="1" si="3"/>
        <v>0.50881831791416254</v>
      </c>
      <c r="B5">
        <f t="shared" ca="1" si="0"/>
        <v>2.4360607306037032</v>
      </c>
      <c r="C5">
        <v>0.55210364249633948</v>
      </c>
      <c r="D5">
        <v>0.46070833239615028</v>
      </c>
      <c r="E5">
        <v>0.39346940196026958</v>
      </c>
      <c r="F5">
        <v>7.6951867134805063E-2</v>
      </c>
      <c r="G5">
        <v>7.6951867134805063E-2</v>
      </c>
      <c r="O5">
        <f t="shared" si="4"/>
        <v>2</v>
      </c>
      <c r="P5">
        <f t="shared" si="5"/>
        <v>1</v>
      </c>
      <c r="AA5">
        <f t="shared" si="1"/>
        <v>4289</v>
      </c>
      <c r="AB5">
        <f t="shared" si="2"/>
        <v>12274</v>
      </c>
    </row>
    <row r="6" spans="1:35" x14ac:dyDescent="0.3">
      <c r="A6">
        <f t="shared" ca="1" si="3"/>
        <v>0.62508795461454825</v>
      </c>
      <c r="B6">
        <f t="shared" ca="1" si="0"/>
        <v>1.378243375533504</v>
      </c>
      <c r="C6">
        <v>0.61911353589644758</v>
      </c>
      <c r="D6">
        <v>0.59565819963804534</v>
      </c>
      <c r="E6">
        <v>0.3008764658281794</v>
      </c>
      <c r="F6">
        <v>0.12717729641080805</v>
      </c>
      <c r="G6">
        <v>0.12717729641080805</v>
      </c>
      <c r="O6">
        <f t="shared" si="4"/>
        <v>2</v>
      </c>
      <c r="P6">
        <f t="shared" si="5"/>
        <v>1</v>
      </c>
      <c r="AA6">
        <f t="shared" si="1"/>
        <v>4977</v>
      </c>
      <c r="AB6">
        <f t="shared" si="2"/>
        <v>16978</v>
      </c>
    </row>
    <row r="7" spans="1:35" x14ac:dyDescent="0.3">
      <c r="A7">
        <f t="shared" ca="1" si="3"/>
        <v>0.97752424565343665</v>
      </c>
      <c r="B7">
        <f t="shared" ca="1" si="0"/>
        <v>2.3781297271489592</v>
      </c>
      <c r="C7">
        <v>0.45752677351000914</v>
      </c>
      <c r="D7">
        <v>0.94030235864174305</v>
      </c>
      <c r="E7">
        <v>0.15843558751844408</v>
      </c>
      <c r="F7">
        <v>0.26344217954998284</v>
      </c>
      <c r="G7">
        <v>0.26344217954998284</v>
      </c>
      <c r="O7">
        <f t="shared" si="4"/>
        <v>2</v>
      </c>
      <c r="P7">
        <f t="shared" si="5"/>
        <v>1</v>
      </c>
      <c r="AA7">
        <f t="shared" si="1"/>
        <v>3873</v>
      </c>
      <c r="AB7">
        <f t="shared" si="2"/>
        <v>14002</v>
      </c>
    </row>
    <row r="8" spans="1:35" x14ac:dyDescent="0.3">
      <c r="A8">
        <f t="shared" ca="1" si="3"/>
        <v>0.8297231996094756</v>
      </c>
      <c r="B8">
        <f t="shared" ca="1" si="0"/>
        <v>1.514105049264197</v>
      </c>
      <c r="C8">
        <v>0.334678168384418</v>
      </c>
      <c r="D8">
        <v>1.0024411245455835</v>
      </c>
      <c r="E8" t="s">
        <v>20</v>
      </c>
      <c r="F8" t="s">
        <v>20</v>
      </c>
      <c r="G8" t="s">
        <v>20</v>
      </c>
      <c r="O8">
        <f t="shared" si="4"/>
        <v>2</v>
      </c>
      <c r="P8">
        <f t="shared" si="5"/>
        <v>1</v>
      </c>
      <c r="AA8">
        <f t="shared" si="1"/>
        <v>13265</v>
      </c>
      <c r="AB8">
        <f t="shared" si="2"/>
        <v>27922</v>
      </c>
    </row>
    <row r="9" spans="1:35" x14ac:dyDescent="0.3">
      <c r="A9">
        <f t="shared" ca="1" si="3"/>
        <v>0.73366242847534768</v>
      </c>
      <c r="B9">
        <f t="shared" ca="1" si="0"/>
        <v>2.9497537338475581</v>
      </c>
      <c r="C9">
        <v>0.38797393198108482</v>
      </c>
      <c r="D9">
        <v>0.75761499196304738</v>
      </c>
      <c r="E9">
        <v>0.22060915925295574</v>
      </c>
      <c r="F9">
        <v>0.19186652742148458</v>
      </c>
      <c r="G9">
        <v>0.19186652742148458</v>
      </c>
      <c r="O9">
        <f t="shared" si="4"/>
        <v>2</v>
      </c>
      <c r="P9">
        <f t="shared" si="5"/>
        <v>1</v>
      </c>
      <c r="AA9">
        <f t="shared" si="1"/>
        <v>12673</v>
      </c>
      <c r="AB9">
        <f t="shared" si="2"/>
        <v>17778</v>
      </c>
    </row>
    <row r="10" spans="1:35" x14ac:dyDescent="0.3">
      <c r="A10">
        <f t="shared" ca="1" si="3"/>
        <v>0.38335314588581204</v>
      </c>
      <c r="B10">
        <f t="shared" ca="1" si="0"/>
        <v>1.4371900742492836</v>
      </c>
      <c r="C10">
        <v>0.35922944595495315</v>
      </c>
      <c r="D10">
        <v>1.2417105785880402</v>
      </c>
      <c r="E10" t="s">
        <v>20</v>
      </c>
      <c r="F10" t="s">
        <v>20</v>
      </c>
      <c r="G10" t="s">
        <v>20</v>
      </c>
      <c r="O10">
        <f t="shared" si="4"/>
        <v>2</v>
      </c>
      <c r="P10">
        <f t="shared" si="5"/>
        <v>1</v>
      </c>
      <c r="AA10">
        <f t="shared" si="1"/>
        <v>14385</v>
      </c>
      <c r="AB10">
        <f t="shared" si="2"/>
        <v>8146</v>
      </c>
    </row>
    <row r="11" spans="1:35" x14ac:dyDescent="0.3">
      <c r="A11">
        <f t="shared" ca="1" si="3"/>
        <v>0.76262976192299836</v>
      </c>
      <c r="B11">
        <f t="shared" ca="1" si="0"/>
        <v>2.9532342354605086</v>
      </c>
      <c r="C11">
        <v>0.86354493818216194</v>
      </c>
      <c r="D11">
        <v>0.43580800391253754</v>
      </c>
      <c r="E11">
        <v>0.41373294451037379</v>
      </c>
      <c r="F11">
        <v>6.8491346773944292E-2</v>
      </c>
      <c r="G11">
        <v>6.8491346773944292E-2</v>
      </c>
      <c r="O11">
        <f t="shared" si="4"/>
        <v>2</v>
      </c>
      <c r="P11">
        <f t="shared" si="5"/>
        <v>1</v>
      </c>
      <c r="AA11">
        <f t="shared" si="1"/>
        <v>30689</v>
      </c>
      <c r="AB11">
        <f t="shared" si="2"/>
        <v>23602</v>
      </c>
    </row>
    <row r="12" spans="1:35" x14ac:dyDescent="0.3">
      <c r="A12">
        <f t="shared" ca="1" si="3"/>
        <v>0.71556208102191365</v>
      </c>
      <c r="B12">
        <f t="shared" ca="1" si="0"/>
        <v>1.801489405782557</v>
      </c>
      <c r="C12">
        <v>0.42642238693132145</v>
      </c>
      <c r="D12">
        <v>0.81476024505440248</v>
      </c>
      <c r="E12">
        <v>0.19845520375141323</v>
      </c>
      <c r="F12">
        <v>0.21467524993804732</v>
      </c>
      <c r="G12">
        <v>0.21467524993804732</v>
      </c>
      <c r="O12">
        <f t="shared" si="4"/>
        <v>2</v>
      </c>
      <c r="P12">
        <f t="shared" si="5"/>
        <v>1</v>
      </c>
      <c r="AA12">
        <f t="shared" si="1"/>
        <v>8337</v>
      </c>
      <c r="AB12">
        <f t="shared" si="2"/>
        <v>23186</v>
      </c>
    </row>
    <row r="13" spans="1:35" x14ac:dyDescent="0.3">
      <c r="A13">
        <f t="shared" ca="1" si="3"/>
        <v>0.55435172743395911</v>
      </c>
      <c r="B13">
        <f t="shared" ca="1" si="0"/>
        <v>2.1168953128055232</v>
      </c>
      <c r="C13">
        <v>0.44863210203568271</v>
      </c>
      <c r="D13">
        <v>0.61582613750941595</v>
      </c>
      <c r="E13">
        <v>0.28924890710960183</v>
      </c>
      <c r="F13">
        <v>0.1351064477380543</v>
      </c>
      <c r="G13">
        <v>0.1351064477380543</v>
      </c>
      <c r="O13">
        <f t="shared" si="4"/>
        <v>2</v>
      </c>
      <c r="P13">
        <f t="shared" si="5"/>
        <v>1</v>
      </c>
      <c r="AA13">
        <f t="shared" si="1"/>
        <v>25153</v>
      </c>
      <c r="AB13">
        <f t="shared" si="2"/>
        <v>31474</v>
      </c>
    </row>
    <row r="14" spans="1:35" x14ac:dyDescent="0.3">
      <c r="A14">
        <f t="shared" ca="1" si="3"/>
        <v>0.39122769072499797</v>
      </c>
      <c r="B14">
        <f t="shared" ca="1" si="0"/>
        <v>2.4931481056976201</v>
      </c>
      <c r="C14">
        <v>0.87476324956466278</v>
      </c>
      <c r="D14">
        <v>0.28831214112678355</v>
      </c>
      <c r="E14">
        <v>0.55840861484683346</v>
      </c>
      <c r="F14">
        <v>2.6765225056393099E-2</v>
      </c>
      <c r="G14">
        <v>2.6765225056393099E-2</v>
      </c>
      <c r="O14">
        <f t="shared" si="4"/>
        <v>2</v>
      </c>
      <c r="P14">
        <f t="shared" si="5"/>
        <v>1</v>
      </c>
      <c r="AA14">
        <f t="shared" si="1"/>
        <v>27889</v>
      </c>
      <c r="AB14">
        <f t="shared" si="2"/>
        <v>7506</v>
      </c>
    </row>
    <row r="15" spans="1:35" x14ac:dyDescent="0.3">
      <c r="A15">
        <f t="shared" ca="1" si="3"/>
        <v>0.60940978438381943</v>
      </c>
      <c r="B15">
        <f t="shared" ca="1" si="0"/>
        <v>1.4502628124345665</v>
      </c>
      <c r="C15">
        <v>0.41976918203688285</v>
      </c>
      <c r="D15">
        <v>0.69323172706910496</v>
      </c>
      <c r="E15">
        <v>0.24913444673948046</v>
      </c>
      <c r="F15">
        <v>0.16599655223617632</v>
      </c>
      <c r="G15">
        <v>0.16599655223617632</v>
      </c>
      <c r="O15">
        <f t="shared" si="4"/>
        <v>2</v>
      </c>
      <c r="P15">
        <f t="shared" si="5"/>
        <v>1</v>
      </c>
      <c r="AA15">
        <f t="shared" si="1"/>
        <v>28833</v>
      </c>
      <c r="AB15">
        <f t="shared" si="2"/>
        <v>8626</v>
      </c>
    </row>
    <row r="16" spans="1:35" x14ac:dyDescent="0.3">
      <c r="A16">
        <f t="shared" ca="1" si="3"/>
        <v>0.47512667635609362</v>
      </c>
      <c r="B16">
        <f t="shared" ca="1" si="0"/>
        <v>2.2032531514477411</v>
      </c>
      <c r="C16">
        <v>0.54339069769145742</v>
      </c>
      <c r="D16">
        <v>0.87325518678501501</v>
      </c>
      <c r="E16">
        <v>0.17845976047727466</v>
      </c>
      <c r="F16">
        <v>0.23768064807679062</v>
      </c>
      <c r="G16">
        <v>0.23768064807679062</v>
      </c>
      <c r="O16">
        <f t="shared" si="4"/>
        <v>2</v>
      </c>
      <c r="P16">
        <f t="shared" si="5"/>
        <v>1</v>
      </c>
      <c r="AA16">
        <f t="shared" si="1"/>
        <v>7505</v>
      </c>
      <c r="AB16">
        <f t="shared" si="2"/>
        <v>26642</v>
      </c>
    </row>
    <row r="17" spans="1:28" x14ac:dyDescent="0.3">
      <c r="A17">
        <f t="shared" ca="1" si="3"/>
        <v>0.78613739630904678</v>
      </c>
      <c r="B17">
        <f t="shared" ca="1" si="0"/>
        <v>1.9513854186550521</v>
      </c>
      <c r="C17">
        <v>0.89302465160891664</v>
      </c>
      <c r="D17">
        <v>0.50297440155954865</v>
      </c>
      <c r="E17">
        <v>0.361480167753649</v>
      </c>
      <c r="F17">
        <v>9.1992435840209469E-2</v>
      </c>
      <c r="G17">
        <v>9.1992435840209469E-2</v>
      </c>
      <c r="O17">
        <f t="shared" si="4"/>
        <v>2</v>
      </c>
      <c r="P17">
        <f t="shared" si="5"/>
        <v>1</v>
      </c>
      <c r="AA17">
        <f t="shared" si="1"/>
        <v>8961</v>
      </c>
      <c r="AB17">
        <f t="shared" si="2"/>
        <v>20594</v>
      </c>
    </row>
    <row r="18" spans="1:28" x14ac:dyDescent="0.3">
      <c r="A18">
        <f t="shared" ca="1" si="3"/>
        <v>0.74866086819360478</v>
      </c>
      <c r="B18">
        <f t="shared" ca="1" si="0"/>
        <v>1.273222170385383</v>
      </c>
      <c r="C18">
        <v>0.6202889024711129</v>
      </c>
      <c r="D18">
        <v>0.48252966784238327</v>
      </c>
      <c r="E18">
        <v>0.37658704541906574</v>
      </c>
      <c r="F18">
        <v>8.4618911379750902E-2</v>
      </c>
      <c r="G18">
        <v>8.4618911379750902E-2</v>
      </c>
      <c r="O18">
        <f t="shared" si="4"/>
        <v>2</v>
      </c>
      <c r="P18">
        <f t="shared" si="5"/>
        <v>1</v>
      </c>
      <c r="AA18">
        <f t="shared" si="1"/>
        <v>12721</v>
      </c>
      <c r="AB18">
        <f t="shared" si="2"/>
        <v>15058</v>
      </c>
    </row>
    <row r="19" spans="1:28" x14ac:dyDescent="0.3">
      <c r="A19">
        <f t="shared" ca="1" si="3"/>
        <v>0.97001808642626852</v>
      </c>
      <c r="B19">
        <f t="shared" ca="1" si="0"/>
        <v>1.6334745726765505</v>
      </c>
      <c r="C19">
        <v>0.60091072726805217</v>
      </c>
      <c r="D19">
        <v>0.60258460063637054</v>
      </c>
      <c r="E19">
        <v>0.29682465089374821</v>
      </c>
      <c r="F19">
        <v>0.12989249171867051</v>
      </c>
      <c r="G19">
        <v>0.12989249171867051</v>
      </c>
      <c r="O19">
        <f t="shared" si="4"/>
        <v>2</v>
      </c>
      <c r="P19">
        <f t="shared" si="5"/>
        <v>1</v>
      </c>
      <c r="AA19">
        <f t="shared" si="1"/>
        <v>31073</v>
      </c>
      <c r="AB19">
        <f t="shared" si="2"/>
        <v>1842</v>
      </c>
    </row>
    <row r="20" spans="1:28" x14ac:dyDescent="0.3">
      <c r="A20">
        <f t="shared" ca="1" si="3"/>
        <v>0.82479134833781365</v>
      </c>
      <c r="B20">
        <f t="shared" ca="1" si="0"/>
        <v>2.5174560637791927</v>
      </c>
      <c r="C20">
        <v>0.87519611380242956</v>
      </c>
      <c r="D20">
        <v>0.31907015137352368</v>
      </c>
      <c r="E20">
        <v>0.52446135341821065</v>
      </c>
      <c r="F20">
        <v>3.4072344810840927E-2</v>
      </c>
      <c r="G20">
        <v>3.4072344810840927E-2</v>
      </c>
      <c r="O20">
        <f t="shared" si="4"/>
        <v>2</v>
      </c>
      <c r="P20">
        <f t="shared" si="5"/>
        <v>1</v>
      </c>
      <c r="AA20">
        <f t="shared" si="1"/>
        <v>10769</v>
      </c>
      <c r="AB20">
        <f t="shared" si="2"/>
        <v>5522</v>
      </c>
    </row>
    <row r="21" spans="1:28" x14ac:dyDescent="0.3">
      <c r="A21">
        <f t="shared" ca="1" si="3"/>
        <v>0.83404483392059259</v>
      </c>
      <c r="B21">
        <f t="shared" ca="1" si="0"/>
        <v>1.6762028536953117</v>
      </c>
      <c r="C21">
        <v>0.42508477778898801</v>
      </c>
      <c r="D21">
        <v>0.8122436822321577</v>
      </c>
      <c r="E21">
        <v>0.19937372999246666</v>
      </c>
      <c r="F21">
        <v>0.21367659559641713</v>
      </c>
      <c r="G21">
        <v>0.21367659559641713</v>
      </c>
      <c r="O21">
        <f t="shared" si="4"/>
        <v>2</v>
      </c>
      <c r="P21">
        <f t="shared" si="5"/>
        <v>1</v>
      </c>
      <c r="AA21">
        <f t="shared" si="1"/>
        <v>29633</v>
      </c>
      <c r="AB21">
        <f t="shared" si="2"/>
        <v>17906</v>
      </c>
    </row>
    <row r="22" spans="1:28" x14ac:dyDescent="0.3">
      <c r="A22">
        <f t="shared" ca="1" si="3"/>
        <v>0.8434144647582571</v>
      </c>
      <c r="B22">
        <f t="shared" ca="1" si="0"/>
        <v>2.4225929683540093</v>
      </c>
      <c r="C22">
        <v>0.51428323266791875</v>
      </c>
      <c r="D22">
        <v>0.380573167491704</v>
      </c>
      <c r="E22">
        <v>0.4627359763278418</v>
      </c>
      <c r="F22">
        <v>5.1012634892137795E-2</v>
      </c>
      <c r="G22">
        <v>5.1012634892137795E-2</v>
      </c>
      <c r="O22">
        <f t="shared" si="4"/>
        <v>2</v>
      </c>
      <c r="P22">
        <f t="shared" si="5"/>
        <v>1</v>
      </c>
      <c r="AA22">
        <f t="shared" si="1"/>
        <v>1649</v>
      </c>
      <c r="AB22">
        <f t="shared" si="2"/>
        <v>30802</v>
      </c>
    </row>
    <row r="23" spans="1:28" x14ac:dyDescent="0.3">
      <c r="A23">
        <f t="shared" ca="1" si="3"/>
        <v>0.61703533093488638</v>
      </c>
      <c r="B23">
        <f t="shared" ca="1" si="0"/>
        <v>1.3777866077209162</v>
      </c>
      <c r="C23">
        <v>0.73392109584726284</v>
      </c>
      <c r="D23">
        <v>0.46048807498905503</v>
      </c>
      <c r="E23">
        <v>0.393643910178817</v>
      </c>
      <c r="F23">
        <v>7.6875631574435971E-2</v>
      </c>
      <c r="G23">
        <v>7.6875631574435971E-2</v>
      </c>
      <c r="O23">
        <f t="shared" si="4"/>
        <v>2</v>
      </c>
      <c r="P23">
        <f t="shared" si="5"/>
        <v>1</v>
      </c>
      <c r="AA23">
        <f t="shared" si="1"/>
        <v>4641</v>
      </c>
      <c r="AB23">
        <f t="shared" si="2"/>
        <v>3250</v>
      </c>
    </row>
    <row r="24" spans="1:28" x14ac:dyDescent="0.3">
      <c r="A24">
        <f t="shared" ca="1" si="3"/>
        <v>0.50403417586555732</v>
      </c>
      <c r="B24">
        <f t="shared" ca="1" si="0"/>
        <v>1.8500970722267791</v>
      </c>
      <c r="C24">
        <v>0.72797522820301919</v>
      </c>
      <c r="D24">
        <v>0.6339498044688453</v>
      </c>
      <c r="E24">
        <v>0.27923262027050322</v>
      </c>
      <c r="F24">
        <v>0.14228553921036852</v>
      </c>
      <c r="G24">
        <v>0.14228553921036852</v>
      </c>
      <c r="O24">
        <f t="shared" si="4"/>
        <v>2</v>
      </c>
      <c r="P24">
        <f t="shared" si="5"/>
        <v>1</v>
      </c>
      <c r="AA24">
        <f t="shared" si="1"/>
        <v>18129</v>
      </c>
      <c r="AB24">
        <f t="shared" si="2"/>
        <v>25362</v>
      </c>
    </row>
    <row r="25" spans="1:28" x14ac:dyDescent="0.3">
      <c r="A25">
        <f t="shared" ca="1" si="3"/>
        <v>0.8515395429174083</v>
      </c>
      <c r="B25">
        <f t="shared" ca="1" si="0"/>
        <v>2.6143877989192763</v>
      </c>
      <c r="C25">
        <v>0.75806387209456871</v>
      </c>
      <c r="D25">
        <v>0.46786825073854793</v>
      </c>
      <c r="E25">
        <v>0.38784173908309671</v>
      </c>
      <c r="F25">
        <v>7.9442932473355446E-2</v>
      </c>
      <c r="G25">
        <v>7.9442932473355446E-2</v>
      </c>
      <c r="O25">
        <f t="shared" si="4"/>
        <v>2</v>
      </c>
      <c r="P25">
        <f t="shared" si="5"/>
        <v>1</v>
      </c>
      <c r="AA25">
        <f t="shared" si="1"/>
        <v>21633</v>
      </c>
      <c r="AB25">
        <f t="shared" si="2"/>
        <v>23410</v>
      </c>
    </row>
    <row r="26" spans="1:28" x14ac:dyDescent="0.3">
      <c r="A26">
        <f t="shared" ca="1" si="3"/>
        <v>0.95753773616609228</v>
      </c>
      <c r="B26">
        <f t="shared" ca="1" si="0"/>
        <v>2.6102954761497408</v>
      </c>
      <c r="C26">
        <v>0.75108092391117542</v>
      </c>
      <c r="D26">
        <v>0.63349372776243174</v>
      </c>
      <c r="E26">
        <v>0.27947979032966597</v>
      </c>
      <c r="F26">
        <v>0.14210434666854363</v>
      </c>
      <c r="G26">
        <v>0.14210434666854363</v>
      </c>
      <c r="O26">
        <f t="shared" si="4"/>
        <v>2</v>
      </c>
      <c r="P26">
        <f t="shared" si="5"/>
        <v>1</v>
      </c>
      <c r="AA26">
        <f t="shared" si="1"/>
        <v>27441</v>
      </c>
      <c r="AB26">
        <f t="shared" si="2"/>
        <v>21970</v>
      </c>
    </row>
    <row r="27" spans="1:28" x14ac:dyDescent="0.3">
      <c r="A27">
        <f t="shared" ca="1" si="3"/>
        <v>0.60583464951789678</v>
      </c>
      <c r="B27">
        <f t="shared" ca="1" si="0"/>
        <v>1.5793326564682659</v>
      </c>
      <c r="C27">
        <v>0.71670246658140635</v>
      </c>
      <c r="D27">
        <v>0.44903633195848713</v>
      </c>
      <c r="E27">
        <v>0.40283246529329936</v>
      </c>
      <c r="F27">
        <v>7.2945567050267904E-2</v>
      </c>
      <c r="G27">
        <v>7.2945567050267904E-2</v>
      </c>
      <c r="O27">
        <f t="shared" si="4"/>
        <v>2</v>
      </c>
      <c r="P27">
        <f t="shared" si="5"/>
        <v>1</v>
      </c>
      <c r="AA27">
        <f t="shared" si="1"/>
        <v>15073</v>
      </c>
      <c r="AB27">
        <f t="shared" si="2"/>
        <v>12850</v>
      </c>
    </row>
  </sheetData>
  <mergeCells count="2">
    <mergeCell ref="AA1:AB1"/>
    <mergeCell ref="AF2:AI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11</xdr:col>
                <xdr:colOff>0</xdr:colOff>
                <xdr:row>0</xdr:row>
                <xdr:rowOff>152400</xdr:rowOff>
              </from>
              <to>
                <xdr:col>12</xdr:col>
                <xdr:colOff>396240</xdr:colOff>
                <xdr:row>3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task1</vt:lpstr>
      <vt:lpstr>task2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2025-03-10T07:50:06Z</dcterms:modified>
</cp:coreProperties>
</file>